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racker" sheetId="1" state="visible" r:id="rId1"/>
    <sheet xmlns:r="http://schemas.openxmlformats.org/officeDocument/2006/relationships" name="Annua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£#,##0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001a365d"/>
      <sz val="10"/>
    </font>
    <font>
      <name val="Calibri"/>
      <b val="1"/>
      <color rgb="FFFFFFFF"/>
      <sz val="10"/>
    </font>
    <font>
      <name val="Calibri"/>
      <color rgb="FF333333"/>
      <sz val="10"/>
    </font>
    <font>
      <name val="Calibri"/>
      <b val="1"/>
      <color rgb="FF333333"/>
      <sz val="10"/>
    </font>
    <font>
      <name val="Calibri"/>
      <b val="1"/>
      <color rgb="FF333333"/>
      <sz val="11"/>
    </font>
    <font>
      <name val="Calibri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a365d"/>
      </patternFill>
    </fill>
    <fill>
      <patternFill patternType="solid">
        <fgColor rgb="FFe8f0fe"/>
      </patternFill>
    </fill>
    <fill>
      <patternFill patternType="solid">
        <fgColor rgb="FFd97706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 vertical="center"/>
    </xf>
    <xf numFmtId="0" fontId="3" fillId="4" borderId="1" pivotButton="0" quotePrefix="0" xfId="0"/>
    <xf numFmtId="0" fontId="0" fillId="0" borderId="1" pivotButton="0" quotePrefix="0" xfId="0"/>
    <xf numFmtId="0" fontId="4" fillId="0" borderId="1" pivotButton="0" quotePrefix="0" xfId="0"/>
    <xf numFmtId="164" fontId="0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5" fillId="3" borderId="1" pivotButton="0" quotePrefix="0" xfId="0"/>
    <xf numFmtId="164" fontId="5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5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Buy-to-Let Cashflow Tracker 2026</t>
        </is>
      </c>
    </row>
    <row r="2" ht="20" customHeight="1">
      <c r="A2" s="2" t="inlineStr">
        <is>
          <t>PropertyBrain.uk — Free UK Property Tools</t>
        </is>
      </c>
    </row>
    <row r="3"/>
    <row r="4" ht="24" customHeight="1">
      <c r="A4" s="3" t="inlineStr"/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May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Aug</t>
        </is>
      </c>
      <c r="J4" s="4" t="inlineStr">
        <is>
          <t>Sep</t>
        </is>
      </c>
      <c r="K4" s="4" t="inlineStr">
        <is>
          <t>Oct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TOTAL</t>
        </is>
      </c>
    </row>
    <row r="5">
      <c r="A5" s="5" t="inlineStr">
        <is>
          <t>INCOME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Rent Received (£)</t>
        </is>
      </c>
      <c r="B6" s="8" t="n">
        <v>900</v>
      </c>
      <c r="C6" s="8" t="n">
        <v>900</v>
      </c>
      <c r="D6" s="8" t="n">
        <v>900</v>
      </c>
      <c r="E6" s="8" t="n">
        <v>900</v>
      </c>
      <c r="F6" s="8" t="n">
        <v>900</v>
      </c>
      <c r="G6" s="8" t="n">
        <v>900</v>
      </c>
      <c r="H6" s="8" t="n">
        <v>900</v>
      </c>
      <c r="I6" s="8" t="n">
        <v>900</v>
      </c>
      <c r="J6" s="8" t="n">
        <v>900</v>
      </c>
      <c r="K6" s="8" t="n">
        <v>900</v>
      </c>
      <c r="L6" s="8" t="n">
        <v>900</v>
      </c>
      <c r="M6" s="8" t="n">
        <v>900</v>
      </c>
      <c r="N6" s="9">
        <f>SUM(B6:M6)</f>
        <v/>
      </c>
    </row>
    <row r="7">
      <c r="A7" s="7" t="inlineStr">
        <is>
          <t>Other Income (£)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9">
        <f>SUM(B7:M7)</f>
        <v/>
      </c>
    </row>
    <row r="8">
      <c r="A8" s="10" t="inlineStr">
        <is>
          <t>Total Income</t>
        </is>
      </c>
      <c r="B8" s="11">
        <f>B6+B7</f>
        <v/>
      </c>
      <c r="C8" s="11">
        <f>C6+C7</f>
        <v/>
      </c>
      <c r="D8" s="11">
        <f>D6+D7</f>
        <v/>
      </c>
      <c r="E8" s="11">
        <f>E6+E7</f>
        <v/>
      </c>
      <c r="F8" s="11">
        <f>F6+F7</f>
        <v/>
      </c>
      <c r="G8" s="11">
        <f>G6+G7</f>
        <v/>
      </c>
      <c r="H8" s="11">
        <f>H6+H7</f>
        <v/>
      </c>
      <c r="I8" s="11">
        <f>I6+I7</f>
        <v/>
      </c>
      <c r="J8" s="11">
        <f>J6+J7</f>
        <v/>
      </c>
      <c r="K8" s="11">
        <f>K6+K7</f>
        <v/>
      </c>
      <c r="L8" s="11">
        <f>L6+L7</f>
        <v/>
      </c>
      <c r="M8" s="11">
        <f>M6+M7</f>
        <v/>
      </c>
      <c r="N8" s="11">
        <f>SUM(B8:M8)</f>
        <v/>
      </c>
    </row>
    <row r="9">
      <c r="A9" s="5" t="inlineStr">
        <is>
          <t>EXPENSES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7" t="inlineStr">
        <is>
          <t>Void / Empty Days (£)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9">
        <f>SUM(B10:M10)</f>
        <v/>
      </c>
    </row>
    <row r="11">
      <c r="A11" s="7" t="inlineStr">
        <is>
          <t>Mortgage Payment (£)</t>
        </is>
      </c>
      <c r="B11" s="8" t="n">
        <v>600</v>
      </c>
      <c r="C11" s="8" t="n">
        <v>600</v>
      </c>
      <c r="D11" s="8" t="n">
        <v>600</v>
      </c>
      <c r="E11" s="8" t="n">
        <v>600</v>
      </c>
      <c r="F11" s="8" t="n">
        <v>600</v>
      </c>
      <c r="G11" s="8" t="n">
        <v>600</v>
      </c>
      <c r="H11" s="8" t="n">
        <v>600</v>
      </c>
      <c r="I11" s="8" t="n">
        <v>600</v>
      </c>
      <c r="J11" s="8" t="n">
        <v>600</v>
      </c>
      <c r="K11" s="8" t="n">
        <v>600</v>
      </c>
      <c r="L11" s="8" t="n">
        <v>600</v>
      </c>
      <c r="M11" s="8" t="n">
        <v>600</v>
      </c>
      <c r="N11" s="9">
        <f>SUM(B11:M11)</f>
        <v/>
      </c>
    </row>
    <row r="12">
      <c r="A12" s="7" t="inlineStr">
        <is>
          <t>Management Fee (£)</t>
        </is>
      </c>
      <c r="B12" s="8" t="n">
        <v>90</v>
      </c>
      <c r="C12" s="8" t="n">
        <v>90</v>
      </c>
      <c r="D12" s="8" t="n">
        <v>90</v>
      </c>
      <c r="E12" s="8" t="n">
        <v>90</v>
      </c>
      <c r="F12" s="8" t="n">
        <v>90</v>
      </c>
      <c r="G12" s="8" t="n">
        <v>90</v>
      </c>
      <c r="H12" s="8" t="n">
        <v>90</v>
      </c>
      <c r="I12" s="8" t="n">
        <v>90</v>
      </c>
      <c r="J12" s="8" t="n">
        <v>90</v>
      </c>
      <c r="K12" s="8" t="n">
        <v>90</v>
      </c>
      <c r="L12" s="8" t="n">
        <v>90</v>
      </c>
      <c r="M12" s="8" t="n">
        <v>90</v>
      </c>
      <c r="N12" s="9">
        <f>SUM(B12:M12)</f>
        <v/>
      </c>
    </row>
    <row r="13">
      <c r="A13" s="7" t="inlineStr">
        <is>
          <t>Maintenance &amp; Repairs (£)</t>
        </is>
      </c>
      <c r="B13" s="8" t="n">
        <v>83</v>
      </c>
      <c r="C13" s="8" t="n">
        <v>83</v>
      </c>
      <c r="D13" s="8" t="n">
        <v>83</v>
      </c>
      <c r="E13" s="8" t="n">
        <v>83</v>
      </c>
      <c r="F13" s="8" t="n">
        <v>83</v>
      </c>
      <c r="G13" s="8" t="n">
        <v>83</v>
      </c>
      <c r="H13" s="8" t="n">
        <v>83</v>
      </c>
      <c r="I13" s="8" t="n">
        <v>83</v>
      </c>
      <c r="J13" s="8" t="n">
        <v>83</v>
      </c>
      <c r="K13" s="8" t="n">
        <v>83</v>
      </c>
      <c r="L13" s="8" t="n">
        <v>83</v>
      </c>
      <c r="M13" s="8" t="n">
        <v>83</v>
      </c>
      <c r="N13" s="9">
        <f>SUM(B13:M13)</f>
        <v/>
      </c>
    </row>
    <row r="14">
      <c r="A14" s="7" t="inlineStr">
        <is>
          <t>Insurance (£)</t>
        </is>
      </c>
      <c r="B14" s="8" t="n">
        <v>67</v>
      </c>
      <c r="C14" s="8" t="n">
        <v>67</v>
      </c>
      <c r="D14" s="8" t="n">
        <v>67</v>
      </c>
      <c r="E14" s="8" t="n">
        <v>67</v>
      </c>
      <c r="F14" s="8" t="n">
        <v>67</v>
      </c>
      <c r="G14" s="8" t="n">
        <v>67</v>
      </c>
      <c r="H14" s="8" t="n">
        <v>67</v>
      </c>
      <c r="I14" s="8" t="n">
        <v>67</v>
      </c>
      <c r="J14" s="8" t="n">
        <v>67</v>
      </c>
      <c r="K14" s="8" t="n">
        <v>67</v>
      </c>
      <c r="L14" s="8" t="n">
        <v>67</v>
      </c>
      <c r="M14" s="8" t="n">
        <v>67</v>
      </c>
      <c r="N14" s="9">
        <f>SUM(B14:M14)</f>
        <v/>
      </c>
    </row>
    <row r="15">
      <c r="A15" s="7" t="inlineStr">
        <is>
          <t>Ground Rent (£)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9">
        <f>SUM(B15:M15)</f>
        <v/>
      </c>
    </row>
    <row r="16">
      <c r="A16" s="7" t="inlineStr">
        <is>
          <t>Service Charge (£)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9">
        <f>SUM(B16:M16)</f>
        <v/>
      </c>
    </row>
    <row r="17">
      <c r="A17" s="7" t="inlineStr">
        <is>
          <t>Council Tax (empty periods) (£)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9">
        <f>SUM(B17:M17)</f>
        <v/>
      </c>
    </row>
    <row r="18">
      <c r="A18" s="7" t="inlineStr">
        <is>
          <t>Accountancy &amp; Legal (£)</t>
        </is>
      </c>
      <c r="B18" s="8" t="n">
        <v>42</v>
      </c>
      <c r="C18" s="8" t="n">
        <v>42</v>
      </c>
      <c r="D18" s="8" t="n">
        <v>42</v>
      </c>
      <c r="E18" s="8" t="n">
        <v>42</v>
      </c>
      <c r="F18" s="8" t="n">
        <v>42</v>
      </c>
      <c r="G18" s="8" t="n">
        <v>42</v>
      </c>
      <c r="H18" s="8" t="n">
        <v>42</v>
      </c>
      <c r="I18" s="8" t="n">
        <v>42</v>
      </c>
      <c r="J18" s="8" t="n">
        <v>42</v>
      </c>
      <c r="K18" s="8" t="n">
        <v>42</v>
      </c>
      <c r="L18" s="8" t="n">
        <v>42</v>
      </c>
      <c r="M18" s="8" t="n">
        <v>42</v>
      </c>
      <c r="N18" s="9">
        <f>SUM(B18:M18)</f>
        <v/>
      </c>
    </row>
    <row r="19">
      <c r="A19" s="7" t="inlineStr">
        <is>
          <t>Other Expenses (£)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9">
        <f>SUM(B19:M19)</f>
        <v/>
      </c>
    </row>
    <row r="20">
      <c r="A20" s="10" t="inlineStr">
        <is>
          <t>Total Expenses</t>
        </is>
      </c>
      <c r="B20" s="11">
        <f>SUM(B10:B19)</f>
        <v/>
      </c>
      <c r="C20" s="11">
        <f>SUM(C10:C19)</f>
        <v/>
      </c>
      <c r="D20" s="11">
        <f>SUM(D10:D19)</f>
        <v/>
      </c>
      <c r="E20" s="11">
        <f>SUM(E10:E19)</f>
        <v/>
      </c>
      <c r="F20" s="11">
        <f>SUM(F10:F19)</f>
        <v/>
      </c>
      <c r="G20" s="11">
        <f>SUM(G10:G19)</f>
        <v/>
      </c>
      <c r="H20" s="11">
        <f>SUM(H10:H19)</f>
        <v/>
      </c>
      <c r="I20" s="11">
        <f>SUM(I10:I19)</f>
        <v/>
      </c>
      <c r="J20" s="11">
        <f>SUM(J10:J19)</f>
        <v/>
      </c>
      <c r="K20" s="11">
        <f>SUM(K10:K19)</f>
        <v/>
      </c>
      <c r="L20" s="11">
        <f>SUM(L10:L19)</f>
        <v/>
      </c>
      <c r="M20" s="11">
        <f>SUM(M10:M19)</f>
        <v/>
      </c>
      <c r="N20" s="11">
        <f>SUM(B20:M20)</f>
        <v/>
      </c>
    </row>
    <row r="21" ht="26" customHeight="1">
      <c r="A21" s="12" t="inlineStr">
        <is>
          <t>NET CASHFLOW (£)</t>
        </is>
      </c>
      <c r="B21" s="13">
        <f>B8-B20</f>
        <v/>
      </c>
      <c r="C21" s="13">
        <f>C8-C20</f>
        <v/>
      </c>
      <c r="D21" s="13">
        <f>D8-D20</f>
        <v/>
      </c>
      <c r="E21" s="13">
        <f>E8-E20</f>
        <v/>
      </c>
      <c r="F21" s="13">
        <f>F8-F20</f>
        <v/>
      </c>
      <c r="G21" s="13">
        <f>G8-G20</f>
        <v/>
      </c>
      <c r="H21" s="13">
        <f>H8-H20</f>
        <v/>
      </c>
      <c r="I21" s="13">
        <f>I8-I20</f>
        <v/>
      </c>
      <c r="J21" s="13">
        <f>J8-J20</f>
        <v/>
      </c>
      <c r="K21" s="13">
        <f>K8-K20</f>
        <v/>
      </c>
      <c r="L21" s="13">
        <f>L8-L20</f>
        <v/>
      </c>
      <c r="M21" s="13">
        <f>M8-M20</f>
        <v/>
      </c>
      <c r="N21" s="13">
        <f>SUM(B21:M21)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 ht="32" customHeight="1">
      <c r="A1" s="1" t="inlineStr">
        <is>
          <t>Annual Summary &amp; Yield Calculator</t>
        </is>
      </c>
    </row>
    <row r="2" ht="20" customHeight="1">
      <c r="A2" s="2" t="inlineStr">
        <is>
          <t>PropertyBrain.uk — Free UK Property Tools</t>
        </is>
      </c>
    </row>
    <row r="3"/>
    <row r="4">
      <c r="A4" s="3" t="inlineStr">
        <is>
          <t>PROPERTY DETAILS</t>
        </is>
      </c>
    </row>
    <row r="5">
      <c r="A5" s="7" t="inlineStr">
        <is>
          <t>Purchase Price</t>
        </is>
      </c>
      <c r="B5" s="14" t="n">
        <v>200000</v>
      </c>
    </row>
    <row r="6">
      <c r="A6" s="7" t="inlineStr">
        <is>
          <t>Monthly Rent (target)</t>
        </is>
      </c>
      <c r="B6" s="14" t="n">
        <v>900</v>
      </c>
    </row>
    <row r="7">
      <c r="A7" s="7" t="inlineStr">
        <is>
          <t>Annual Costs (estimated)</t>
        </is>
      </c>
      <c r="B7" s="14" t="n">
        <v>3600</v>
      </c>
    </row>
    <row r="8">
      <c r="A8" s="7" t="inlineStr"/>
      <c r="B8" s="6" t="n"/>
    </row>
    <row r="9">
      <c r="A9" s="3" t="inlineStr">
        <is>
          <t>ANNUAL RESULTS</t>
        </is>
      </c>
    </row>
    <row r="10">
      <c r="A10" s="7" t="inlineStr">
        <is>
          <t>Annual Gross Rent</t>
        </is>
      </c>
      <c r="B10" s="14">
        <f>B4*12</f>
        <v/>
      </c>
    </row>
    <row r="11">
      <c r="A11" s="7" t="inlineStr">
        <is>
          <t>Annual Costs</t>
        </is>
      </c>
      <c r="B11" s="14">
        <f>B5</f>
        <v/>
      </c>
    </row>
    <row r="12">
      <c r="A12" s="7" t="inlineStr">
        <is>
          <t>Net Annual Income</t>
        </is>
      </c>
      <c r="B12" s="14">
        <f>B10-B11</f>
        <v/>
      </c>
    </row>
    <row r="13">
      <c r="A13" s="7" t="inlineStr"/>
      <c r="B13" s="6" t="n"/>
    </row>
    <row r="14">
      <c r="A14" s="3" t="inlineStr">
        <is>
          <t>YIELD</t>
        </is>
      </c>
    </row>
    <row r="15">
      <c r="A15" s="7" t="inlineStr">
        <is>
          <t>Gross Yield</t>
        </is>
      </c>
      <c r="B15" s="15">
        <f>B10/B3</f>
        <v/>
      </c>
    </row>
    <row r="16">
      <c r="A16" s="7" t="inlineStr">
        <is>
          <t>Net Yield</t>
        </is>
      </c>
      <c r="B16" s="15">
        <f>B12/B3</f>
        <v/>
      </c>
    </row>
  </sheetData>
  <mergeCells count="5">
    <mergeCell ref="A14:C14"/>
    <mergeCell ref="A2:H2"/>
    <mergeCell ref="A9:C9"/>
    <mergeCell ref="A1:H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2026-05-17T13:33:49Z</dcterms:created>
  <dcterms:modified xmlns:dcterms="http://purl.org/dc/terms/" xmlns:xsi="http://www.w3.org/2001/XMLSchema-instance" xsi:type="dcterms:W3CDTF">2026-05-17T13:33:49Z</dcterms:modified>
</cp:coreProperties>
</file>