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 Calculator" sheetId="1" state="visible" r:id="rId1"/>
    <sheet xmlns:r="http://schemas.openxmlformats.org/officeDocument/2006/relationships" name="Seasona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001a365d"/>
      <sz val="10"/>
    </font>
    <font>
      <name val="Calibri"/>
      <b val="1"/>
      <color rgb="FFFFFFFF"/>
      <sz val="10"/>
    </font>
    <font>
      <name val="Calibri"/>
      <color rgb="FF333333"/>
      <sz val="10"/>
    </font>
    <font>
      <name val="Calibri"/>
      <b val="1"/>
      <color rgb="FF333333"/>
      <sz val="10"/>
    </font>
  </fonts>
  <fills count="7">
    <fill>
      <patternFill/>
    </fill>
    <fill>
      <patternFill patternType="gray125"/>
    </fill>
    <fill>
      <patternFill patternType="solid">
        <fgColor rgb="FF1a365d"/>
      </patternFill>
    </fill>
    <fill>
      <patternFill patternType="solid">
        <fgColor rgb="FFe8f0fe"/>
      </patternFill>
    </fill>
    <fill>
      <patternFill patternType="solid">
        <fgColor rgb="FFfefce8"/>
      </patternFill>
    </fill>
    <fill>
      <patternFill patternType="solid">
        <fgColor rgb="FFFFFFFF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  <xf numFmtId="164" fontId="4" fillId="4" borderId="1" pivotButton="0" quotePrefix="0" xfId="0"/>
    <xf numFmtId="9" fontId="4" fillId="4" borderId="1" pivotButton="0" quotePrefix="0" xfId="0"/>
    <xf numFmtId="1" fontId="4" fillId="4" borderId="1" pivotButton="0" quotePrefix="0" xfId="0"/>
    <xf numFmtId="0" fontId="0" fillId="0" borderId="1" pivotButton="0" quotePrefix="0" xfId="0"/>
    <xf numFmtId="164" fontId="5" fillId="3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9" fontId="4" fillId="5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9" fontId="4" fillId="6" borderId="1" applyAlignment="1" pivotButton="0" quotePrefix="0" xfId="0">
      <alignment horizontal="center" vertical="center"/>
    </xf>
    <xf numFmtId="1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 ht="32" customHeight="1">
      <c r="A1" s="1" t="inlineStr">
        <is>
          <t>Serviced Accommodation Income Calculator</t>
        </is>
      </c>
    </row>
    <row r="2" ht="20" customHeight="1">
      <c r="A2" s="2" t="inlineStr">
        <is>
          <t>PropertyBrain.uk — Compare SA vs BTL returns</t>
        </is>
      </c>
    </row>
    <row r="3"/>
    <row r="4">
      <c r="A4" s="3" t="inlineStr">
        <is>
          <t>PROPERTY &amp; RATES</t>
        </is>
      </c>
    </row>
    <row r="5">
      <c r="A5" s="4" t="inlineStr">
        <is>
          <t>Nightly Rate (£)</t>
        </is>
      </c>
      <c r="B5" s="5" t="n">
        <v>85</v>
      </c>
    </row>
    <row r="6">
      <c r="A6" s="4" t="inlineStr">
        <is>
          <t>Platform fee (%)</t>
        </is>
      </c>
      <c r="B6" s="6" t="n">
        <v>3</v>
      </c>
    </row>
    <row r="7">
      <c r="A7" s="4" t="inlineStr">
        <is>
          <t>Target Occupancy (%)</t>
        </is>
      </c>
      <c r="B7" s="6" t="n">
        <v>65</v>
      </c>
    </row>
    <row r="8">
      <c r="A8" s="4" t="inlineStr">
        <is>
          <t>Nights per Month (avg)</t>
        </is>
      </c>
      <c r="B8" s="7" t="n">
        <v>30</v>
      </c>
    </row>
    <row r="9">
      <c r="A9" s="8" t="inlineStr"/>
      <c r="B9" s="8" t="n"/>
    </row>
    <row r="10">
      <c r="A10" s="3" t="inlineStr">
        <is>
          <t>MONTHLY COSTS</t>
        </is>
      </c>
    </row>
    <row r="11">
      <c r="A11" s="4" t="inlineStr">
        <is>
          <t>Cleaning per stay (£)</t>
        </is>
      </c>
      <c r="B11" s="5" t="n">
        <v>60</v>
      </c>
    </row>
    <row r="12">
      <c r="A12" s="4" t="inlineStr">
        <is>
          <t>Avg stays per month</t>
        </is>
      </c>
      <c r="B12" s="7" t="n">
        <v>8</v>
      </c>
    </row>
    <row r="13">
      <c r="A13" s="4" t="inlineStr">
        <is>
          <t>Management fee (% of revenue)</t>
        </is>
      </c>
      <c r="B13" s="6" t="n">
        <v>12</v>
      </c>
    </row>
    <row r="14">
      <c r="A14" s="4" t="inlineStr">
        <is>
          <t>Utilities (£/mo)</t>
        </is>
      </c>
      <c r="B14" s="5" t="n">
        <v>150</v>
      </c>
    </row>
    <row r="15">
      <c r="A15" s="4" t="inlineStr">
        <is>
          <t>Insurance (£/mo)</t>
        </is>
      </c>
      <c r="B15" s="5" t="n">
        <v>80</v>
      </c>
    </row>
    <row r="16">
      <c r="A16" s="4" t="inlineStr">
        <is>
          <t>Mortgage (£/mo)</t>
        </is>
      </c>
      <c r="B16" s="5" t="n">
        <v>600</v>
      </c>
    </row>
    <row r="17">
      <c r="A17" s="8" t="inlineStr"/>
      <c r="B17" s="8" t="n"/>
    </row>
    <row r="18">
      <c r="A18" s="3" t="inlineStr">
        <is>
          <t>BTL COMPARISON</t>
        </is>
      </c>
    </row>
    <row r="19">
      <c r="A19" s="4" t="inlineStr">
        <is>
          <t>Equivalent BTL monthly rent (£)</t>
        </is>
      </c>
      <c r="B19" s="5" t="n">
        <v>750</v>
      </c>
    </row>
    <row r="20">
      <c r="A20" s="4" t="inlineStr">
        <is>
          <t>BTL management fee (%)</t>
        </is>
      </c>
      <c r="B20" s="6" t="n">
        <v>10</v>
      </c>
    </row>
    <row r="21">
      <c r="A21" s="4" t="inlineStr">
        <is>
          <t>BTL other monthly costs (£)</t>
        </is>
      </c>
      <c r="B21" s="5" t="n">
        <v>200</v>
      </c>
    </row>
    <row r="22">
      <c r="A22" s="8" t="inlineStr"/>
      <c r="B22" s="8" t="n"/>
    </row>
    <row r="23">
      <c r="A23" s="3" t="inlineStr">
        <is>
          <t>SA RESULTS</t>
        </is>
      </c>
    </row>
    <row r="24">
      <c r="A24" s="4" t="inlineStr">
        <is>
          <t>Gross Monthly Revenue</t>
        </is>
      </c>
      <c r="B24" s="9">
        <f>B5*B6*B7</f>
        <v/>
      </c>
    </row>
    <row r="25">
      <c r="A25" s="4" t="inlineStr">
        <is>
          <t>Less: Platform Fee</t>
        </is>
      </c>
      <c r="B25" s="9">
        <f>B22*(B6)</f>
        <v/>
      </c>
    </row>
    <row r="26">
      <c r="A26" s="4" t="inlineStr">
        <is>
          <t>Net Revenue</t>
        </is>
      </c>
      <c r="B26" s="9">
        <f>B22-B23</f>
        <v/>
      </c>
    </row>
    <row r="27">
      <c r="A27" s="4" t="inlineStr">
        <is>
          <t>Cleaning Costs</t>
        </is>
      </c>
      <c r="B27" s="9">
        <f>B10*B11</f>
        <v/>
      </c>
    </row>
    <row r="28">
      <c r="A28" s="4" t="inlineStr">
        <is>
          <t>Management Fee</t>
        </is>
      </c>
      <c r="B28" s="9">
        <f>B22*B12</f>
        <v/>
      </c>
    </row>
    <row r="29">
      <c r="A29" s="4" t="inlineStr">
        <is>
          <t>Utilities</t>
        </is>
      </c>
      <c r="B29" s="9">
        <f>B13</f>
        <v/>
      </c>
    </row>
    <row r="30">
      <c r="A30" s="4" t="inlineStr">
        <is>
          <t>Insurance</t>
        </is>
      </c>
      <c r="B30" s="9">
        <f>B14</f>
        <v/>
      </c>
    </row>
    <row r="31">
      <c r="A31" s="4" t="inlineStr">
        <is>
          <t>Mortgage</t>
        </is>
      </c>
      <c r="B31" s="9">
        <f>B15</f>
        <v/>
      </c>
    </row>
    <row r="32">
      <c r="A32" s="4" t="inlineStr">
        <is>
          <t>Total Monthly Costs</t>
        </is>
      </c>
      <c r="B32" s="9">
        <f>SUM(B25:B29)</f>
        <v/>
      </c>
    </row>
    <row r="33">
      <c r="A33" s="4" t="inlineStr">
        <is>
          <t>NET MONTHLY PROFIT (SA)</t>
        </is>
      </c>
      <c r="B33" s="9">
        <f>B24-B30</f>
        <v/>
      </c>
    </row>
    <row r="34">
      <c r="A34" s="4" t="inlineStr">
        <is>
          <t>Annual SA Income</t>
        </is>
      </c>
      <c r="B34" s="9">
        <f>B31*12</f>
        <v/>
      </c>
    </row>
    <row r="35">
      <c r="A35" s="8" t="inlineStr"/>
      <c r="B35" s="8" t="n"/>
    </row>
    <row r="36">
      <c r="A36" s="3" t="inlineStr">
        <is>
          <t>BTL RESULTS</t>
        </is>
      </c>
    </row>
    <row r="37">
      <c r="A37" s="4" t="inlineStr">
        <is>
          <t>BTL Net Monthly Income</t>
        </is>
      </c>
      <c r="B37" s="9">
        <f>B17*(1-B18)-B19</f>
        <v/>
      </c>
    </row>
    <row r="38">
      <c r="A38" s="4" t="inlineStr">
        <is>
          <t>Annual BTL Income</t>
        </is>
      </c>
      <c r="B38" s="9">
        <f>B35*12</f>
        <v/>
      </c>
    </row>
    <row r="39">
      <c r="A39" s="8" t="inlineStr"/>
      <c r="B39" s="8" t="n"/>
    </row>
    <row r="40">
      <c r="A40" s="3" t="inlineStr">
        <is>
          <t>SA UPLIFT vs BTL</t>
        </is>
      </c>
    </row>
    <row r="41">
      <c r="A41" s="4" t="inlineStr">
        <is>
          <t>Extra monthly income (SA vs BTL)</t>
        </is>
      </c>
      <c r="B41" s="9">
        <f>B31-B35</f>
        <v/>
      </c>
    </row>
    <row r="42">
      <c r="A42" s="4" t="inlineStr">
        <is>
          <t>Extra annual income (SA vs BTL)</t>
        </is>
      </c>
      <c r="B42" s="9">
        <f>B39*12</f>
        <v/>
      </c>
    </row>
  </sheetData>
  <mergeCells count="8">
    <mergeCell ref="A23:D23"/>
    <mergeCell ref="A18:D18"/>
    <mergeCell ref="A40:D40"/>
    <mergeCell ref="A4:D4"/>
    <mergeCell ref="A2:H2"/>
    <mergeCell ref="A1:H1"/>
    <mergeCell ref="A10:D10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SA Seasonality — 12-Month Projection</t>
        </is>
      </c>
    </row>
    <row r="2" ht="20" customHeight="1">
      <c r="A2" s="2" t="inlineStr">
        <is>
          <t>PropertyBrain.uk — Free UK Property Tools</t>
        </is>
      </c>
    </row>
    <row r="3"/>
    <row r="4">
      <c r="A4" s="10" t="inlineStr">
        <is>
          <t>Month</t>
        </is>
      </c>
      <c r="B4" s="10" t="inlineStr">
        <is>
          <t>Occupancy %</t>
        </is>
      </c>
      <c r="C4" s="10" t="inlineStr">
        <is>
          <t>Nights Occupied</t>
        </is>
      </c>
      <c r="D4" s="10" t="inlineStr">
        <is>
          <t>Gross Revenue</t>
        </is>
      </c>
      <c r="E4" s="10" t="inlineStr">
        <is>
          <t>Platform Fee</t>
        </is>
      </c>
      <c r="F4" s="10" t="inlineStr">
        <is>
          <t>Net Revenue</t>
        </is>
      </c>
      <c r="G4" s="10" t="inlineStr">
        <is>
          <t>Costs</t>
        </is>
      </c>
      <c r="H4" s="10" t="inlineStr">
        <is>
          <t>Net Profit</t>
        </is>
      </c>
    </row>
    <row r="5">
      <c r="A5" s="11" t="inlineStr">
        <is>
          <t>January</t>
        </is>
      </c>
      <c r="B5" s="12" t="n">
        <v>0.55</v>
      </c>
      <c r="C5" s="13" t="n">
        <v>16</v>
      </c>
      <c r="D5" s="14" t="n">
        <v>1360</v>
      </c>
      <c r="E5" s="14" t="n">
        <v>40.8</v>
      </c>
      <c r="F5" s="14" t="n">
        <v>1319.2</v>
      </c>
      <c r="G5" s="14" t="n">
        <v>1473.2</v>
      </c>
      <c r="H5" s="14" t="n">
        <v>-154</v>
      </c>
    </row>
    <row r="6">
      <c r="A6" s="15" t="inlineStr">
        <is>
          <t>February</t>
        </is>
      </c>
      <c r="B6" s="16" t="n">
        <v>0.55</v>
      </c>
      <c r="C6" s="17" t="n">
        <v>16</v>
      </c>
      <c r="D6" s="18" t="n">
        <v>1360</v>
      </c>
      <c r="E6" s="18" t="n">
        <v>40.8</v>
      </c>
      <c r="F6" s="18" t="n">
        <v>1319.2</v>
      </c>
      <c r="G6" s="18" t="n">
        <v>1473.2</v>
      </c>
      <c r="H6" s="18" t="n">
        <v>-154</v>
      </c>
    </row>
    <row r="7">
      <c r="A7" s="11" t="inlineStr">
        <is>
          <t>March</t>
        </is>
      </c>
      <c r="B7" s="12" t="n">
        <v>0.65</v>
      </c>
      <c r="C7" s="13" t="n">
        <v>20</v>
      </c>
      <c r="D7" s="14" t="n">
        <v>1700</v>
      </c>
      <c r="E7" s="14" t="n">
        <v>51</v>
      </c>
      <c r="F7" s="14" t="n">
        <v>1649</v>
      </c>
      <c r="G7" s="14" t="n">
        <v>1514</v>
      </c>
      <c r="H7" s="14" t="n">
        <v>135</v>
      </c>
    </row>
    <row r="8">
      <c r="A8" s="15" t="inlineStr">
        <is>
          <t>April</t>
        </is>
      </c>
      <c r="B8" s="16" t="n">
        <v>0.7</v>
      </c>
      <c r="C8" s="17" t="n">
        <v>21</v>
      </c>
      <c r="D8" s="18" t="n">
        <v>1785</v>
      </c>
      <c r="E8" s="18" t="n">
        <v>53.55</v>
      </c>
      <c r="F8" s="18" t="n">
        <v>1731.45</v>
      </c>
      <c r="G8" s="18" t="n">
        <v>1524.2</v>
      </c>
      <c r="H8" s="18" t="n">
        <v>207.25</v>
      </c>
    </row>
    <row r="9">
      <c r="A9" s="11" t="inlineStr">
        <is>
          <t>May</t>
        </is>
      </c>
      <c r="B9" s="12" t="n">
        <v>0.72</v>
      </c>
      <c r="C9" s="13" t="n">
        <v>22</v>
      </c>
      <c r="D9" s="14" t="n">
        <v>1870</v>
      </c>
      <c r="E9" s="14" t="n">
        <v>56.1</v>
      </c>
      <c r="F9" s="14" t="n">
        <v>1813.9</v>
      </c>
      <c r="G9" s="14" t="n">
        <v>1534.4</v>
      </c>
      <c r="H9" s="14" t="n">
        <v>279.5</v>
      </c>
    </row>
    <row r="10">
      <c r="A10" s="15" t="inlineStr">
        <is>
          <t>June</t>
        </is>
      </c>
      <c r="B10" s="16" t="n">
        <v>0.78</v>
      </c>
      <c r="C10" s="17" t="n">
        <v>23</v>
      </c>
      <c r="D10" s="18" t="n">
        <v>1955</v>
      </c>
      <c r="E10" s="18" t="n">
        <v>58.65</v>
      </c>
      <c r="F10" s="18" t="n">
        <v>1896.35</v>
      </c>
      <c r="G10" s="18" t="n">
        <v>1544.6</v>
      </c>
      <c r="H10" s="18" t="n">
        <v>351.75</v>
      </c>
    </row>
    <row r="11">
      <c r="A11" s="11" t="inlineStr">
        <is>
          <t>July</t>
        </is>
      </c>
      <c r="B11" s="12" t="n">
        <v>0.82</v>
      </c>
      <c r="C11" s="13" t="n">
        <v>25</v>
      </c>
      <c r="D11" s="14" t="n">
        <v>2125</v>
      </c>
      <c r="E11" s="14" t="n">
        <v>63.75</v>
      </c>
      <c r="F11" s="14" t="n">
        <v>2061.25</v>
      </c>
      <c r="G11" s="14" t="n">
        <v>1565</v>
      </c>
      <c r="H11" s="14" t="n">
        <v>496.25</v>
      </c>
    </row>
    <row r="12">
      <c r="A12" s="15" t="inlineStr">
        <is>
          <t>August</t>
        </is>
      </c>
      <c r="B12" s="16" t="n">
        <v>0.82</v>
      </c>
      <c r="C12" s="17" t="n">
        <v>25</v>
      </c>
      <c r="D12" s="18" t="n">
        <v>2125</v>
      </c>
      <c r="E12" s="18" t="n">
        <v>63.75</v>
      </c>
      <c r="F12" s="18" t="n">
        <v>2061.25</v>
      </c>
      <c r="G12" s="18" t="n">
        <v>1565</v>
      </c>
      <c r="H12" s="18" t="n">
        <v>496.25</v>
      </c>
    </row>
    <row r="13">
      <c r="A13" s="11" t="inlineStr">
        <is>
          <t>September</t>
        </is>
      </c>
      <c r="B13" s="12" t="n">
        <v>0.7</v>
      </c>
      <c r="C13" s="13" t="n">
        <v>21</v>
      </c>
      <c r="D13" s="14" t="n">
        <v>1785</v>
      </c>
      <c r="E13" s="14" t="n">
        <v>53.55</v>
      </c>
      <c r="F13" s="14" t="n">
        <v>1731.45</v>
      </c>
      <c r="G13" s="14" t="n">
        <v>1524.2</v>
      </c>
      <c r="H13" s="14" t="n">
        <v>207.25</v>
      </c>
    </row>
    <row r="14">
      <c r="A14" s="15" t="inlineStr">
        <is>
          <t>October</t>
        </is>
      </c>
      <c r="B14" s="16" t="n">
        <v>0.65</v>
      </c>
      <c r="C14" s="17" t="n">
        <v>20</v>
      </c>
      <c r="D14" s="18" t="n">
        <v>1700</v>
      </c>
      <c r="E14" s="18" t="n">
        <v>51</v>
      </c>
      <c r="F14" s="18" t="n">
        <v>1649</v>
      </c>
      <c r="G14" s="18" t="n">
        <v>1514</v>
      </c>
      <c r="H14" s="18" t="n">
        <v>135</v>
      </c>
    </row>
    <row r="15">
      <c r="A15" s="11" t="inlineStr">
        <is>
          <t>November</t>
        </is>
      </c>
      <c r="B15" s="12" t="n">
        <v>0.55</v>
      </c>
      <c r="C15" s="13" t="n">
        <v>16</v>
      </c>
      <c r="D15" s="14" t="n">
        <v>1360</v>
      </c>
      <c r="E15" s="14" t="n">
        <v>40.8</v>
      </c>
      <c r="F15" s="14" t="n">
        <v>1319.2</v>
      </c>
      <c r="G15" s="14" t="n">
        <v>1473.2</v>
      </c>
      <c r="H15" s="14" t="n">
        <v>-154</v>
      </c>
    </row>
    <row r="16">
      <c r="A16" s="15" t="inlineStr">
        <is>
          <t>December</t>
        </is>
      </c>
      <c r="B16" s="16" t="n">
        <v>0.6</v>
      </c>
      <c r="C16" s="17" t="n">
        <v>18</v>
      </c>
      <c r="D16" s="18" t="n">
        <v>1530</v>
      </c>
      <c r="E16" s="18" t="n">
        <v>45.9</v>
      </c>
      <c r="F16" s="18" t="n">
        <v>1484.1</v>
      </c>
      <c r="G16" s="18" t="n">
        <v>1493.6</v>
      </c>
      <c r="H16" s="18" t="n">
        <v>-9.5</v>
      </c>
    </row>
    <row r="17">
      <c r="A17" s="3" t="inlineStr">
        <is>
          <t>ANNUAL TOTAL</t>
        </is>
      </c>
      <c r="B17" s="19" t="n"/>
      <c r="C17" s="20">
        <f>SUM(C5:C16)</f>
        <v/>
      </c>
      <c r="D17" s="21">
        <f>SUM(D5:D16)</f>
        <v/>
      </c>
      <c r="E17" s="21">
        <f>SUM(E5:E16)</f>
        <v/>
      </c>
      <c r="F17" s="21">
        <f>SUM(F5:F16)</f>
        <v/>
      </c>
      <c r="G17" s="21">
        <f>SUM(G5:G16)</f>
        <v/>
      </c>
      <c r="H17" s="21">
        <f>SUM(H5:H16)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2026-05-17T13:33:49Z</dcterms:created>
  <dcterms:modified xmlns:dcterms="http://purl.org/dc/terms/" xmlns:xsi="http://www.w3.org/2001/XMLSchema-instance" xsi:type="dcterms:W3CDTF">2026-05-17T13:33:49Z</dcterms:modified>
</cp:coreProperties>
</file>