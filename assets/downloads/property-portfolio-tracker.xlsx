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001a365d"/>
      <sz val="10"/>
    </font>
    <font>
      <name val="Calibri"/>
      <b val="1"/>
      <color rgb="FFFFFFFF"/>
      <sz val="10"/>
    </font>
    <font>
      <name val="Calibri"/>
      <color rgb="FF333333"/>
      <sz val="10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a365d"/>
      </patternFill>
    </fill>
    <fill>
      <patternFill patternType="solid">
        <fgColor rgb="FFe8f0fe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pivotButton="0" quotePrefix="0" xfId="0"/>
    <xf numFmtId="164" fontId="3" fillId="2" borderId="1" applyAlignment="1" pivotButton="0" quotePrefix="0" xfId="0">
      <alignment horizontal="center" vertical="center"/>
    </xf>
    <xf numFmtId="1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22" customWidth="1" min="11" max="11"/>
  </cols>
  <sheetData>
    <row r="1" ht="32" customHeight="1">
      <c r="A1" s="1" t="inlineStr">
        <is>
          <t>Property Portfolio Tracker 2026</t>
        </is>
      </c>
    </row>
    <row r="2" ht="20" customHeight="1">
      <c r="A2" s="2" t="inlineStr">
        <is>
          <t>PropertyBrain.uk — Track all your properties in one place</t>
        </is>
      </c>
    </row>
    <row r="3"/>
    <row r="4" ht="24" customHeight="1">
      <c r="A4" s="3" t="inlineStr">
        <is>
          <t>Property Address</t>
        </is>
      </c>
      <c r="B4" s="3" t="inlineStr">
        <is>
          <t>Purchase Price</t>
        </is>
      </c>
      <c r="C4" s="3" t="inlineStr">
        <is>
          <t>Current Value</t>
        </is>
      </c>
      <c r="D4" s="3" t="inlineStr">
        <is>
          <t>Mortgage Balance</t>
        </is>
      </c>
      <c r="E4" s="3" t="inlineStr">
        <is>
          <t>Equity</t>
        </is>
      </c>
      <c r="F4" s="3" t="inlineStr">
        <is>
          <t>Monthly Rent</t>
        </is>
      </c>
      <c r="G4" s="3" t="inlineStr">
        <is>
          <t>Monthly Costs</t>
        </is>
      </c>
      <c r="H4" s="3" t="inlineStr">
        <is>
          <t>Net Cashflow</t>
        </is>
      </c>
      <c r="I4" s="3" t="inlineStr">
        <is>
          <t>Gross Yield</t>
        </is>
      </c>
      <c r="J4" s="3" t="inlineStr">
        <is>
          <t>Net Yield</t>
        </is>
      </c>
      <c r="K4" s="3" t="inlineStr">
        <is>
          <t>Notes</t>
        </is>
      </c>
    </row>
    <row r="5">
      <c r="A5" s="4" t="inlineStr">
        <is>
          <t>23 High Street, Sheffield</t>
        </is>
      </c>
      <c r="B5" s="5" t="n">
        <v>150000</v>
      </c>
      <c r="C5" s="5" t="n">
        <v>165000</v>
      </c>
      <c r="D5" s="5" t="n">
        <v>112500</v>
      </c>
      <c r="E5" s="5">
        <f>C5-D5</f>
        <v/>
      </c>
      <c r="F5" s="5" t="n">
        <v>750</v>
      </c>
      <c r="G5" s="5" t="n">
        <v>300</v>
      </c>
      <c r="H5" s="5">
        <f>F5-G5</f>
        <v/>
      </c>
      <c r="I5" s="6">
        <f>IF(B5&gt;0,F5*12/B5,"")</f>
        <v/>
      </c>
      <c r="J5" s="6">
        <f>IF(B5&gt;0,H5*12/B5,"")</f>
        <v/>
      </c>
      <c r="K5" s="7" t="inlineStr">
        <is>
          <t>BTL - terraced</t>
        </is>
      </c>
    </row>
    <row r="6">
      <c r="A6" s="8" t="inlineStr">
        <is>
          <t>14 Park Ave, Manchester</t>
        </is>
      </c>
      <c r="B6" s="9" t="n">
        <v>200000</v>
      </c>
      <c r="C6" s="9" t="n">
        <v>215000</v>
      </c>
      <c r="D6" s="9" t="n">
        <v>150000</v>
      </c>
      <c r="E6" s="9">
        <f>C6-D6</f>
        <v/>
      </c>
      <c r="F6" s="9" t="n">
        <v>900</v>
      </c>
      <c r="G6" s="9" t="n">
        <v>380</v>
      </c>
      <c r="H6" s="9">
        <f>F6-G6</f>
        <v/>
      </c>
      <c r="I6" s="10">
        <f>IF(B6&gt;0,F6*12/B6,"")</f>
        <v/>
      </c>
      <c r="J6" s="10">
        <f>IF(B6&gt;0,H6*12/B6,"")</f>
        <v/>
      </c>
      <c r="K6" s="11" t="inlineStr">
        <is>
          <t>BTL - semi</t>
        </is>
      </c>
    </row>
    <row r="7">
      <c r="A7" s="4" t="inlineStr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inlineStr"/>
    </row>
    <row r="8">
      <c r="A8" s="8" t="inlineStr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inlineStr"/>
    </row>
    <row r="9">
      <c r="A9" s="4" t="inlineStr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inlineStr"/>
    </row>
    <row r="10">
      <c r="A10" s="12" t="inlineStr">
        <is>
          <t>PORTFOLIO TOTAL</t>
        </is>
      </c>
      <c r="B10" s="13">
        <f>SUM(B5:B9)</f>
        <v/>
      </c>
      <c r="C10" s="13">
        <f>SUM(C5:C9)</f>
        <v/>
      </c>
      <c r="D10" s="13">
        <f>SUM(D5:D9)</f>
        <v/>
      </c>
      <c r="E10" s="13">
        <f>SUM(E5:E9)</f>
        <v/>
      </c>
      <c r="F10" s="13">
        <f>SUM(F5:F9)</f>
        <v/>
      </c>
      <c r="G10" s="13">
        <f>SUM(G5:G9)</f>
        <v/>
      </c>
      <c r="H10" s="13">
        <f>SUM(H5:H9)</f>
        <v/>
      </c>
      <c r="I10" s="14">
        <f>IFERROR(F10*12/B10,"")</f>
        <v/>
      </c>
      <c r="J10" s="3" t="n"/>
      <c r="K10" s="3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2026-05-17T13:33:49Z</dcterms:created>
  <dcterms:modified xmlns:dcterms="http://purl.org/dc/terms/" xmlns:xsi="http://www.w3.org/2001/XMLSchema-instance" xsi:type="dcterms:W3CDTF">2026-05-17T13:33:49Z</dcterms:modified>
</cp:coreProperties>
</file>