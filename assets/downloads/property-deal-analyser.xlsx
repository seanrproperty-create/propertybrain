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al Analys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£#,##0"/>
  </numFmts>
  <fonts count="7">
    <font>
      <name val="Calibri"/>
      <family val="2"/>
      <color theme="1"/>
      <sz val="11"/>
      <scheme val="minor"/>
    </font>
    <font>
      <name val="Calibri"/>
      <b val="1"/>
      <color rgb="FFFFFFFF"/>
      <sz val="14"/>
    </font>
    <font>
      <name val="Calibri"/>
      <i val="1"/>
      <color rgb="001a365d"/>
      <sz val="10"/>
    </font>
    <font>
      <name val="Calibri"/>
      <b val="1"/>
      <color rgb="FFFFFFFF"/>
      <sz val="10"/>
    </font>
    <font>
      <name val="Calibri"/>
      <color rgb="FF333333"/>
      <sz val="10"/>
    </font>
    <font>
      <name val="Calibri"/>
      <b val="1"/>
      <color rgb="FF333333"/>
      <sz val="10"/>
    </font>
    <font>
      <name val="Calibri"/>
      <i val="1"/>
      <color rgb="FF666666"/>
      <sz val="9"/>
    </font>
  </fonts>
  <fills count="5">
    <fill>
      <patternFill/>
    </fill>
    <fill>
      <patternFill patternType="gray125"/>
    </fill>
    <fill>
      <patternFill patternType="solid">
        <fgColor rgb="FF1a365d"/>
      </patternFill>
    </fill>
    <fill>
      <patternFill patternType="solid">
        <fgColor rgb="FFe8f0fe"/>
      </patternFill>
    </fill>
    <fill>
      <patternFill patternType="solid">
        <fgColor rgb="FFfefce8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6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164" fontId="4" fillId="4" borderId="1" pivotButton="0" quotePrefix="0" xfId="0"/>
    <xf numFmtId="9" fontId="4" fillId="4" borderId="1" pivotButton="0" quotePrefix="0" xfId="0"/>
    <xf numFmtId="10" fontId="4" fillId="4" borderId="1" pivotButton="0" quotePrefix="0" xfId="0"/>
    <xf numFmtId="1" fontId="4" fillId="4" borderId="1" pivotButton="0" quotePrefix="0" xfId="0"/>
    <xf numFmtId="164" fontId="5" fillId="3" borderId="1" pivotButton="0" quotePrefix="0" xfId="0"/>
    <xf numFmtId="0" fontId="0" fillId="0" borderId="1" pivotButton="0" quotePrefix="0" xfId="0"/>
    <xf numFmtId="10" fontId="5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28" customWidth="1" min="3" max="3"/>
  </cols>
  <sheetData>
    <row r="1" ht="32" customHeight="1">
      <c r="A1" s="1" t="inlineStr">
        <is>
          <t>Property Deal Analyser</t>
        </is>
      </c>
    </row>
    <row r="2" ht="20" customHeight="1">
      <c r="A2" s="2" t="inlineStr">
        <is>
          <t>PropertyBrain.uk — Enter details below to auto-calculate all metrics</t>
        </is>
      </c>
    </row>
    <row r="3">
      <c r="C3" s="3" t="inlineStr">
        <is>
          <t>← Yellow cells = inputs. Blue = calculated.</t>
        </is>
      </c>
    </row>
    <row r="4">
      <c r="A4" s="4" t="inlineStr">
        <is>
          <t>PURCHASE DETAILS</t>
        </is>
      </c>
    </row>
    <row r="5">
      <c r="A5" s="5" t="inlineStr">
        <is>
          <t>Purchase Price (£)</t>
        </is>
      </c>
      <c r="B5" s="6" t="n">
        <v>200000</v>
      </c>
    </row>
    <row r="6">
      <c r="A6" s="5" t="inlineStr">
        <is>
          <t>Deposit (%)</t>
        </is>
      </c>
      <c r="B6" s="7" t="n">
        <v>25</v>
      </c>
    </row>
    <row r="7">
      <c r="A7" s="5" t="inlineStr">
        <is>
          <t>Mortgage Rate (%)</t>
        </is>
      </c>
      <c r="B7" s="8" t="n">
        <v>5</v>
      </c>
    </row>
    <row r="8">
      <c r="A8" s="5" t="inlineStr">
        <is>
          <t>Mortgage Term (years)</t>
        </is>
      </c>
      <c r="B8" s="9" t="n">
        <v>25</v>
      </c>
    </row>
    <row r="9">
      <c r="A9" s="5" t="inlineStr">
        <is>
          <t>Stamp Duty (£)</t>
        </is>
      </c>
      <c r="B9" s="10">
        <f>IF(B5&lt;=250000,0,IF(B5&lt;=925000,(B5-250000)*0.05,33750+(B5-925000)*0.1))*1.05+(B5*0.05)</f>
        <v/>
      </c>
    </row>
    <row r="10">
      <c r="A10" s="5" t="inlineStr">
        <is>
          <t>Legal &amp; Survey Costs (£)</t>
        </is>
      </c>
      <c r="B10" s="6" t="n">
        <v>2500</v>
      </c>
    </row>
    <row r="11">
      <c r="A11" s="11" t="inlineStr"/>
      <c r="B11" s="11" t="n"/>
    </row>
    <row r="12">
      <c r="A12" s="4" t="inlineStr">
        <is>
          <t>RENTAL INCOME</t>
        </is>
      </c>
    </row>
    <row r="13">
      <c r="A13" s="5" t="inlineStr">
        <is>
          <t>Monthly Rent (£)</t>
        </is>
      </c>
      <c r="B13" s="6" t="n">
        <v>900</v>
      </c>
    </row>
    <row r="14">
      <c r="A14" s="5" t="inlineStr">
        <is>
          <t>Void Allowance (%)</t>
        </is>
      </c>
      <c r="B14" s="7" t="n">
        <v>8</v>
      </c>
    </row>
    <row r="15">
      <c r="A15" s="5" t="inlineStr">
        <is>
          <t>Net Monthly Rent</t>
        </is>
      </c>
      <c r="B15" s="10">
        <f>B11*(1-B12)</f>
        <v/>
      </c>
    </row>
    <row r="16">
      <c r="A16" s="11" t="inlineStr"/>
      <c r="B16" s="11" t="n"/>
    </row>
    <row r="17">
      <c r="A17" s="4" t="inlineStr">
        <is>
          <t>ANNUAL COSTS</t>
        </is>
      </c>
    </row>
    <row r="18">
      <c r="A18" s="5" t="inlineStr">
        <is>
          <t>Management Fee (% of rent)</t>
        </is>
      </c>
      <c r="B18" s="7" t="n">
        <v>10</v>
      </c>
    </row>
    <row r="19">
      <c r="A19" s="5" t="inlineStr">
        <is>
          <t>Maintenance (£/year)</t>
        </is>
      </c>
      <c r="B19" s="6" t="n">
        <v>1200</v>
      </c>
    </row>
    <row r="20">
      <c r="A20" s="5" t="inlineStr">
        <is>
          <t>Insurance (£/year)</t>
        </is>
      </c>
      <c r="B20" s="6" t="n">
        <v>800</v>
      </c>
    </row>
    <row r="21">
      <c r="A21" s="5" t="inlineStr">
        <is>
          <t>Ground Rent (£/year)</t>
        </is>
      </c>
      <c r="B21" s="6" t="n">
        <v>0</v>
      </c>
    </row>
    <row r="22">
      <c r="A22" s="5" t="inlineStr">
        <is>
          <t>Service Charge (£/year)</t>
        </is>
      </c>
      <c r="B22" s="6" t="n">
        <v>0</v>
      </c>
    </row>
    <row r="23">
      <c r="A23" s="5" t="inlineStr">
        <is>
          <t>Total Annual Costs</t>
        </is>
      </c>
      <c r="B23" s="10">
        <f>(B11*12*B16)+(B17+B18+B19+B20)</f>
        <v/>
      </c>
    </row>
    <row r="24">
      <c r="A24" s="11" t="inlineStr"/>
      <c r="B24" s="11" t="n"/>
    </row>
    <row r="25">
      <c r="A25" s="4" t="inlineStr">
        <is>
          <t>RESULTS</t>
        </is>
      </c>
    </row>
    <row r="26">
      <c r="A26" s="5" t="inlineStr">
        <is>
          <t>Gross Yield</t>
        </is>
      </c>
      <c r="B26" s="12">
        <f>B11*12/B5</f>
        <v/>
      </c>
    </row>
    <row r="27">
      <c r="A27" s="5" t="inlineStr">
        <is>
          <t>Net Yield</t>
        </is>
      </c>
      <c r="B27" s="12">
        <f>(B11*12-B22)/B5</f>
        <v/>
      </c>
    </row>
    <row r="28">
      <c r="A28" s="5" t="inlineStr">
        <is>
          <t>Loan Amount</t>
        </is>
      </c>
      <c r="B28" s="10">
        <f>B5*(1-B6)</f>
        <v/>
      </c>
    </row>
    <row r="29">
      <c r="A29" s="5" t="inlineStr">
        <is>
          <t>Monthly Mortgage (IO)</t>
        </is>
      </c>
      <c r="B29" s="10">
        <f>B25*B7/12</f>
        <v/>
      </c>
    </row>
    <row r="30">
      <c r="A30" s="5" t="inlineStr">
        <is>
          <t>Monthly Mortgage (Repayment)</t>
        </is>
      </c>
      <c r="B30" s="10">
        <f>IFERROR(B25*(B7/12)/(1-(1+B7/12)^(-B8*12)),0)</f>
        <v/>
      </c>
    </row>
    <row r="31">
      <c r="A31" s="5" t="inlineStr">
        <is>
          <t>Monthly Net Cashflow (IO)</t>
        </is>
      </c>
      <c r="B31" s="10">
        <f>B13-B27/12-B26</f>
        <v/>
      </c>
    </row>
    <row r="32">
      <c r="A32" s="5" t="inlineStr">
        <is>
          <t>Monthly Net Cashflow (Repayment)</t>
        </is>
      </c>
      <c r="B32" s="10">
        <f>B13-B27/12-B27</f>
        <v/>
      </c>
    </row>
    <row r="33">
      <c r="A33" s="5" t="inlineStr">
        <is>
          <t>Cash Invested (deposit+costs)</t>
        </is>
      </c>
      <c r="B33" s="10">
        <f>B5*B6+B7+B8</f>
        <v/>
      </c>
    </row>
    <row r="34">
      <c r="A34" s="5" t="inlineStr">
        <is>
          <t>Cash-on-Cash Return (IO)</t>
        </is>
      </c>
      <c r="B34" s="12">
        <f>IF(B31&gt;0,(B13-B27/12-B26)*12/B31,0)</f>
        <v/>
      </c>
    </row>
    <row r="35">
      <c r="A35" s="5" t="inlineStr">
        <is>
          <t>Break-even Rent (IO)</t>
        </is>
      </c>
      <c r="B35" s="10">
        <f>(B26+B27/12)/(1-B12)</f>
        <v/>
      </c>
    </row>
  </sheetData>
  <mergeCells count="6">
    <mergeCell ref="A17:D17"/>
    <mergeCell ref="A12:D12"/>
    <mergeCell ref="A4:D4"/>
    <mergeCell ref="A2:H2"/>
    <mergeCell ref="A25:D25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2026-05-17T13:33:49Z</dcterms:created>
  <dcterms:modified xmlns:dcterms="http://purl.org/dc/terms/" xmlns:xsi="http://www.w3.org/2001/XMLSchema-instance" xsi:type="dcterms:W3CDTF">2026-05-17T13:33:49Z</dcterms:modified>
</cp:coreProperties>
</file>